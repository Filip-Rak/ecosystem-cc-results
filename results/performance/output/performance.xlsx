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MyFiles\Repos\thesis\results\performance\output\"/>
    </mc:Choice>
  </mc:AlternateContent>
  <xr:revisionPtr revIDLastSave="0" documentId="13_ncr:1_{70FD49F9-9F9D-44D5-BDCC-4264B5C38CF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benchmark_summary" sheetId="2" r:id="rId1"/>
    <sheet name="benchmark_summary (2)" sheetId="3" r:id="rId2"/>
    <sheet name="Sheet1" sheetId="1" r:id="rId3"/>
  </sheets>
  <definedNames>
    <definedName name="ExternalData_1" localSheetId="0" hidden="1">benchmark_summary!$A$1:$G$6</definedName>
    <definedName name="ExternalData_1" localSheetId="1" hidden="1">'benchmark_summary (2)'!$A$1:$I$10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3" l="1"/>
  <c r="C16" i="3"/>
  <c r="C17" i="3"/>
  <c r="C18" i="3"/>
  <c r="C19" i="3"/>
  <c r="C20" i="3"/>
  <c r="C21" i="3"/>
  <c r="C22" i="3"/>
  <c r="C23" i="3"/>
  <c r="B16" i="3"/>
  <c r="B17" i="3"/>
  <c r="B18" i="3"/>
  <c r="B19" i="3"/>
  <c r="B20" i="3"/>
  <c r="B21" i="3"/>
  <c r="B22" i="3"/>
  <c r="B23" i="3"/>
  <c r="B1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D84F28-E645-478C-B527-093C2EED6D18}" keepAlive="1" name="Query - benchmark_summary" description="Connection to the 'benchmark_summary' query in the workbook." type="5" refreshedVersion="8" background="1" saveData="1">
    <dbPr connection="Provider=Microsoft.Mashup.OleDb.1;Data Source=$Workbook$;Location=benchmark_summary;Extended Properties=&quot;&quot;" command="SELECT * FROM [benchmark_summary]"/>
  </connection>
  <connection id="2" xr16:uid="{94A7B305-A6AC-4B79-859F-EE0949153A99}" keepAlive="1" name="Query - benchmark_summary (2)" description="Connection to the 'benchmark_summary (2)' query in the workbook." type="5" refreshedVersion="8" background="1" saveData="1">
    <dbPr connection="Provider=Microsoft.Mashup.OleDb.1;Data Source=$Workbook$;Location=&quot;benchmark_summary (2)&quot;;Extended Properties=&quot;&quot;" command="SELECT * FROM [benchmark_summary (2)]"/>
  </connection>
</connections>
</file>

<file path=xl/sharedStrings.xml><?xml version="1.0" encoding="utf-8"?>
<sst xmlns="http://schemas.openxmlformats.org/spreadsheetml/2006/main" count="34" uniqueCount="27">
  <si>
    <t>benchmark</t>
  </si>
  <si>
    <t>liveAgents_nominal</t>
  </si>
  <si>
    <t>liveAgents_avg</t>
  </si>
  <si>
    <t>avg_tickTime</t>
  </si>
  <si>
    <t>median_tickTime</t>
  </si>
  <si>
    <t>avg_updates_per_sec</t>
  </si>
  <si>
    <t>liveAgents_for_plot</t>
  </si>
  <si>
    <t>benchmark100</t>
  </si>
  <si>
    <t>benchmark250</t>
  </si>
  <si>
    <t>benchmark500</t>
  </si>
  <si>
    <t>benchmark750</t>
  </si>
  <si>
    <t>benchmark1000</t>
  </si>
  <si>
    <t>avg_frameTime</t>
  </si>
  <si>
    <t>median_frameTime</t>
  </si>
  <si>
    <t>benchmark-100</t>
  </si>
  <si>
    <t>benchmark-250</t>
  </si>
  <si>
    <t>benchmark-500</t>
  </si>
  <si>
    <t>benchmark-750</t>
  </si>
  <si>
    <t>benchmark-1000</t>
  </si>
  <si>
    <t>benchmark-2500</t>
  </si>
  <si>
    <t>benchmark-5000</t>
  </si>
  <si>
    <t>benchmark-7500</t>
  </si>
  <si>
    <t>benchmark-10000</t>
  </si>
  <si>
    <t>Liczba agentów</t>
  </si>
  <si>
    <t>Średnia ilosć aktualizowanych agentów na sekundę</t>
  </si>
  <si>
    <t>Średni czas iteracji [ms]</t>
  </si>
  <si>
    <t>Mediana czasu iteracji [ms]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</si>
</sst>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0" borderId="1" xfId="0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3" fontId="0" fillId="2" borderId="1" xfId="0" applyNumberFormat="1" applyFont="1" applyFill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166" fontId="0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benchmark_summary!$F$1</c:f>
              <c:strCache>
                <c:ptCount val="1"/>
                <c:pt idx="0">
                  <c:v>avg_updates_per_sec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benchmark_summary!$G$2:$G$6</c:f>
              <c:numCache>
                <c:formatCode>General</c:formatCode>
                <c:ptCount val="5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</c:numCache>
            </c:numRef>
          </c:xVal>
          <c:yVal>
            <c:numRef>
              <c:f>benchmark_summary!$D$2:$D$6</c:f>
              <c:numCache>
                <c:formatCode>General</c:formatCode>
                <c:ptCount val="5"/>
                <c:pt idx="0">
                  <c:v>2.365902902902903E-4</c:v>
                </c:pt>
                <c:pt idx="1">
                  <c:v>5.785291291291292E-4</c:v>
                </c:pt>
                <c:pt idx="2">
                  <c:v>1.1848791791791791E-3</c:v>
                </c:pt>
                <c:pt idx="3">
                  <c:v>1.6910078078078076E-3</c:v>
                </c:pt>
                <c:pt idx="4">
                  <c:v>2.2035293293293295E-3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A7-4789-BCFB-C7C19FA97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9851312"/>
        <c:axId val="1679864272"/>
      </c:scatterChart>
      <c:valAx>
        <c:axId val="167985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864272"/>
        <c:crosses val="autoZero"/>
        <c:crossBetween val="midCat"/>
      </c:valAx>
      <c:valAx>
        <c:axId val="167986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851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Średni czas iteracji w funkcji liczby agentów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Czas iteracji zależny od liczby agentów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'benchmark_summary (2)'!$A$15:$A$23</c:f>
              <c:numCache>
                <c:formatCode>General</c:formatCode>
                <c:ptCount val="9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2500</c:v>
                </c:pt>
                <c:pt idx="6">
                  <c:v>5000</c:v>
                </c:pt>
                <c:pt idx="7">
                  <c:v>7500</c:v>
                </c:pt>
                <c:pt idx="8">
                  <c:v>10000</c:v>
                </c:pt>
              </c:numCache>
            </c:numRef>
          </c:xVal>
          <c:yVal>
            <c:numRef>
              <c:f>'benchmark_summary (2)'!$B$15:$B$23</c:f>
              <c:numCache>
                <c:formatCode>0.000</c:formatCode>
                <c:ptCount val="9"/>
                <c:pt idx="0">
                  <c:v>8.8132285322853249E-2</c:v>
                </c:pt>
                <c:pt idx="1">
                  <c:v>0.15777436874368742</c:v>
                </c:pt>
                <c:pt idx="2">
                  <c:v>0.29275825158251584</c:v>
                </c:pt>
                <c:pt idx="3">
                  <c:v>0.52641439614396146</c:v>
                </c:pt>
                <c:pt idx="4">
                  <c:v>0.66664089340893407</c:v>
                </c:pt>
                <c:pt idx="5">
                  <c:v>2.3796393513935135</c:v>
                </c:pt>
                <c:pt idx="6">
                  <c:v>5.7452387153871536</c:v>
                </c:pt>
                <c:pt idx="7">
                  <c:v>9.308603168031679</c:v>
                </c:pt>
                <c:pt idx="8">
                  <c:v>12.978090631906321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AE-43DF-813E-469498F07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327648"/>
        <c:axId val="484325728"/>
      </c:scatterChart>
      <c:valAx>
        <c:axId val="48432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Liczba agentów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325728"/>
        <c:crosses val="autoZero"/>
        <c:crossBetween val="midCat"/>
      </c:valAx>
      <c:valAx>
        <c:axId val="48432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Średni czas iteracji [ms]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327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8</xdr:row>
      <xdr:rowOff>26670</xdr:rowOff>
    </xdr:from>
    <xdr:to>
      <xdr:col>8</xdr:col>
      <xdr:colOff>274320</xdr:colOff>
      <xdr:row>23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DA1D08-1365-64ED-1174-DA33E3DDBD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24</xdr:row>
      <xdr:rowOff>72390</xdr:rowOff>
    </xdr:from>
    <xdr:to>
      <xdr:col>4</xdr:col>
      <xdr:colOff>922020</xdr:colOff>
      <xdr:row>39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5CACAD-BE66-D6F6-69D2-016ABDE7FE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BDABE7-DD84-47D0-8E44-10F3949E50D7}" autoFormatId="16" applyNumberFormats="0" applyBorderFormats="0" applyFontFormats="0" applyPatternFormats="0" applyAlignmentFormats="0" applyWidthHeightFormats="0">
  <queryTableRefresh nextId="8">
    <queryTableFields count="7">
      <queryTableField id="1" name="benchmark" tableColumnId="1"/>
      <queryTableField id="2" name="liveAgents_nominal" tableColumnId="2"/>
      <queryTableField id="3" name="liveAgents_avg" tableColumnId="3"/>
      <queryTableField id="4" name="avg_tickTime" tableColumnId="4"/>
      <queryTableField id="5" name="median_tickTime" tableColumnId="5"/>
      <queryTableField id="6" name="avg_updates_per_sec" tableColumnId="6"/>
      <queryTableField id="7" name="liveAgents_for_plot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323F351-B124-4D9C-93DF-00E095BC9E48}" autoFormatId="16" applyNumberFormats="0" applyBorderFormats="0" applyFontFormats="0" applyPatternFormats="0" applyAlignmentFormats="0" applyWidthHeightFormats="0">
  <queryTableRefresh nextId="10">
    <queryTableFields count="9">
      <queryTableField id="1" name="benchmark" tableColumnId="1"/>
      <queryTableField id="2" name="liveAgents_nominal" tableColumnId="2"/>
      <queryTableField id="3" name="liveAgents_avg" tableColumnId="3"/>
      <queryTableField id="4" name="avg_tickTime" tableColumnId="4"/>
      <queryTableField id="5" name="median_tickTime" tableColumnId="5"/>
      <queryTableField id="6" name="avg_frameTime" tableColumnId="6"/>
      <queryTableField id="7" name="median_frameTime" tableColumnId="7"/>
      <queryTableField id="8" name="avg_updates_per_sec" tableColumnId="8"/>
      <queryTableField id="9" name="liveAgents_for_plo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D21D8D-C1E4-4A86-8D0B-E0DF56F7200A}" name="benchmark_summary" displayName="benchmark_summary" ref="A1:G6" tableType="queryTable" totalsRowShown="0">
  <autoFilter ref="A1:G6" xr:uid="{84D21D8D-C1E4-4A86-8D0B-E0DF56F7200A}"/>
  <tableColumns count="7">
    <tableColumn id="1" xr3:uid="{46AF95BC-E7AD-4BCC-9934-E691D77FC226}" uniqueName="1" name="benchmark" queryTableFieldId="1" dataDxfId="1"/>
    <tableColumn id="2" xr3:uid="{453BF240-2796-42B6-BCA5-1B0DE0337CF6}" uniqueName="2" name="liveAgents_nominal" queryTableFieldId="2"/>
    <tableColumn id="3" xr3:uid="{4E262F9B-86FA-4753-B1C6-558DE85D3A82}" uniqueName="3" name="liveAgents_avg" queryTableFieldId="3"/>
    <tableColumn id="4" xr3:uid="{2F2CE651-CAD2-4060-BF50-8E1C0CB34A43}" uniqueName="4" name="avg_tickTime" queryTableFieldId="4"/>
    <tableColumn id="5" xr3:uid="{C1FBDF5D-3CA9-4B9F-AB6E-5F4728024CC7}" uniqueName="5" name="median_tickTime" queryTableFieldId="5"/>
    <tableColumn id="6" xr3:uid="{6A6933B4-022E-4E70-B09C-E9D2A192D67A}" uniqueName="6" name="avg_updates_per_sec" queryTableFieldId="6"/>
    <tableColumn id="7" xr3:uid="{B8D6F033-B58C-4958-8237-B72A909C4C30}" uniqueName="7" name="liveAgents_for_plo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7FF18B-EBCF-401C-A1FC-4826EA552432}" name="benchmark_summary__2" displayName="benchmark_summary__2" ref="A1:I10" tableType="queryTable" totalsRowShown="0">
  <autoFilter ref="A1:I10" xr:uid="{B37FF18B-EBCF-401C-A1FC-4826EA552432}"/>
  <tableColumns count="9">
    <tableColumn id="1" xr3:uid="{C1901104-2BB0-433B-8A18-A7F70B69AD80}" uniqueName="1" name="benchmark" queryTableFieldId="1" dataDxfId="0"/>
    <tableColumn id="2" xr3:uid="{CE7F43B2-2C80-4D6A-852D-81A1A24446A0}" uniqueName="2" name="liveAgents_nominal" queryTableFieldId="2"/>
    <tableColumn id="3" xr3:uid="{D0964AC7-DE32-40EB-8407-A76C3D7EBD4D}" uniqueName="3" name="liveAgents_avg" queryTableFieldId="3"/>
    <tableColumn id="4" xr3:uid="{FA9CCF6F-C536-46F7-85EE-B588B9A1B0B5}" uniqueName="4" name="avg_tickTime" queryTableFieldId="4"/>
    <tableColumn id="5" xr3:uid="{DA19321C-CED3-4785-8EC9-D1D8BBEB7878}" uniqueName="5" name="median_tickTime" queryTableFieldId="5"/>
    <tableColumn id="6" xr3:uid="{55809DE8-DFCD-4487-A8F7-0F32D7BC9FD5}" uniqueName="6" name="avg_frameTime" queryTableFieldId="6"/>
    <tableColumn id="7" xr3:uid="{2185DC50-684B-4878-8C2C-408BDB2D90EA}" uniqueName="7" name="median_frameTime" queryTableFieldId="7"/>
    <tableColumn id="8" xr3:uid="{4B166A03-7F0B-4C39-9224-FC60B45E1FBA}" uniqueName="8" name="avg_updates_per_sec" queryTableFieldId="8"/>
    <tableColumn id="9" xr3:uid="{83695330-3A9F-47CC-97C0-2E4A57BAC475}" uniqueName="9" name="liveAgents_for_plot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85F87-EA04-4582-974D-0341C7E48CF1}">
  <dimension ref="A1:G6"/>
  <sheetViews>
    <sheetView topLeftCell="A19" workbookViewId="0">
      <selection activeCell="H1" sqref="H1"/>
    </sheetView>
  </sheetViews>
  <sheetFormatPr defaultRowHeight="14.4" x14ac:dyDescent="0.3"/>
  <cols>
    <col min="1" max="1" width="14.109375" bestFit="1" customWidth="1"/>
    <col min="2" max="2" width="20" bestFit="1" customWidth="1"/>
    <col min="3" max="3" width="16" bestFit="1" customWidth="1"/>
    <col min="4" max="4" width="14.33203125" bestFit="1" customWidth="1"/>
    <col min="5" max="5" width="17.77734375" bestFit="1" customWidth="1"/>
    <col min="6" max="6" width="21.6640625" bestFit="1" customWidth="1"/>
    <col min="7" max="7" width="19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100</v>
      </c>
      <c r="C2">
        <v>100</v>
      </c>
      <c r="D2">
        <v>2.365902902902903E-4</v>
      </c>
      <c r="E2">
        <v>2.33E-4</v>
      </c>
      <c r="F2">
        <v>422671.61461826065</v>
      </c>
      <c r="G2">
        <v>100</v>
      </c>
    </row>
    <row r="3" spans="1:7" x14ac:dyDescent="0.3">
      <c r="A3" t="s">
        <v>8</v>
      </c>
      <c r="B3">
        <v>250</v>
      </c>
      <c r="C3">
        <v>250</v>
      </c>
      <c r="D3">
        <v>5.785291291291292E-4</v>
      </c>
      <c r="E3">
        <v>5.6740000000000002E-4</v>
      </c>
      <c r="F3">
        <v>432130.35854621482</v>
      </c>
      <c r="G3">
        <v>250</v>
      </c>
    </row>
    <row r="4" spans="1:7" x14ac:dyDescent="0.3">
      <c r="A4" t="s">
        <v>9</v>
      </c>
      <c r="B4">
        <v>500</v>
      </c>
      <c r="C4">
        <v>500</v>
      </c>
      <c r="D4">
        <v>1.1848791791791791E-3</v>
      </c>
      <c r="E4">
        <v>1.1643000000000001E-3</v>
      </c>
      <c r="F4">
        <v>421983.95312032849</v>
      </c>
      <c r="G4">
        <v>500</v>
      </c>
    </row>
    <row r="5" spans="1:7" x14ac:dyDescent="0.3">
      <c r="A5" t="s">
        <v>10</v>
      </c>
      <c r="B5">
        <v>750</v>
      </c>
      <c r="C5">
        <v>750</v>
      </c>
      <c r="D5">
        <v>1.6910078078078076E-3</v>
      </c>
      <c r="E5">
        <v>1.6777000000000001E-3</v>
      </c>
      <c r="F5">
        <v>443522.49382709037</v>
      </c>
      <c r="G5">
        <v>750</v>
      </c>
    </row>
    <row r="6" spans="1:7" x14ac:dyDescent="0.3">
      <c r="A6" t="s">
        <v>11</v>
      </c>
      <c r="B6">
        <v>1000</v>
      </c>
      <c r="C6">
        <v>1000</v>
      </c>
      <c r="D6">
        <v>2.2035293293293295E-3</v>
      </c>
      <c r="E6">
        <v>2.1817E-3</v>
      </c>
      <c r="F6">
        <v>453817.42220983369</v>
      </c>
      <c r="G6">
        <v>1000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64EAC-A501-46F7-82D1-4CAEE08550E0}">
  <dimension ref="A1:I23"/>
  <sheetViews>
    <sheetView tabSelected="1" topLeftCell="A7" workbookViewId="0">
      <selection activeCell="F16" sqref="F16"/>
    </sheetView>
  </sheetViews>
  <sheetFormatPr defaultRowHeight="14.4" x14ac:dyDescent="0.3"/>
  <cols>
    <col min="1" max="1" width="15.77734375" bestFit="1" customWidth="1"/>
    <col min="2" max="2" width="20.21875" bestFit="1" customWidth="1"/>
    <col min="3" max="3" width="23.44140625" bestFit="1" customWidth="1"/>
    <col min="4" max="4" width="43" bestFit="1" customWidth="1"/>
    <col min="5" max="5" width="19.109375" bestFit="1" customWidth="1"/>
    <col min="6" max="6" width="42.77734375" customWidth="1"/>
    <col min="7" max="7" width="43" bestFit="1" customWidth="1"/>
    <col min="8" max="8" width="21.6640625" bestFit="1" customWidth="1"/>
    <col min="9" max="9" width="19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13</v>
      </c>
      <c r="H1" t="s">
        <v>5</v>
      </c>
      <c r="I1" t="s">
        <v>6</v>
      </c>
    </row>
    <row r="2" spans="1:9" x14ac:dyDescent="0.3">
      <c r="A2" s="1" t="s">
        <v>14</v>
      </c>
      <c r="B2">
        <v>100</v>
      </c>
      <c r="C2">
        <v>100</v>
      </c>
      <c r="D2">
        <v>8.8132285322853251E-5</v>
      </c>
      <c r="E2">
        <v>8.5900000000000001E-5</v>
      </c>
      <c r="F2">
        <v>8.8338071380713793E-5</v>
      </c>
      <c r="G2">
        <v>8.6100000000000006E-5</v>
      </c>
      <c r="H2">
        <v>1134657.9705005037</v>
      </c>
      <c r="I2">
        <v>100</v>
      </c>
    </row>
    <row r="3" spans="1:9" x14ac:dyDescent="0.3">
      <c r="A3" s="1" t="s">
        <v>15</v>
      </c>
      <c r="B3">
        <v>250</v>
      </c>
      <c r="C3">
        <v>250</v>
      </c>
      <c r="D3">
        <v>1.5777436874368742E-4</v>
      </c>
      <c r="E3">
        <v>1.563E-4</v>
      </c>
      <c r="F3">
        <v>1.5796320363203631E-4</v>
      </c>
      <c r="G3">
        <v>1.5650000000000001E-4</v>
      </c>
      <c r="H3">
        <v>1584541.2787303738</v>
      </c>
      <c r="I3">
        <v>250</v>
      </c>
    </row>
    <row r="4" spans="1:9" x14ac:dyDescent="0.3">
      <c r="A4" s="1" t="s">
        <v>16</v>
      </c>
      <c r="B4">
        <v>500</v>
      </c>
      <c r="C4">
        <v>500</v>
      </c>
      <c r="D4">
        <v>2.9275825158251584E-4</v>
      </c>
      <c r="E4">
        <v>2.8610000000000002E-4</v>
      </c>
      <c r="F4">
        <v>2.9297055370553702E-4</v>
      </c>
      <c r="G4">
        <v>2.8630000000000002E-4</v>
      </c>
      <c r="H4">
        <v>1707893.7905156594</v>
      </c>
      <c r="I4">
        <v>500</v>
      </c>
    </row>
    <row r="5" spans="1:9" x14ac:dyDescent="0.3">
      <c r="A5" s="1" t="s">
        <v>17</v>
      </c>
      <c r="B5">
        <v>750</v>
      </c>
      <c r="C5">
        <v>750</v>
      </c>
      <c r="D5">
        <v>5.264143961439615E-4</v>
      </c>
      <c r="E5">
        <v>4.8460000000000002E-4</v>
      </c>
      <c r="F5">
        <v>5.2664333343333436E-4</v>
      </c>
      <c r="G5">
        <v>4.8480000000000002E-4</v>
      </c>
      <c r="H5">
        <v>1424733.0724498143</v>
      </c>
      <c r="I5">
        <v>750</v>
      </c>
    </row>
    <row r="6" spans="1:9" x14ac:dyDescent="0.3">
      <c r="A6" s="1" t="s">
        <v>18</v>
      </c>
      <c r="B6">
        <v>1000</v>
      </c>
      <c r="C6">
        <v>1000</v>
      </c>
      <c r="D6">
        <v>6.666408934089341E-4</v>
      </c>
      <c r="E6">
        <v>6.6319999999999997E-4</v>
      </c>
      <c r="F6">
        <v>6.6684309943099444E-4</v>
      </c>
      <c r="G6">
        <v>6.6339999999999997E-4</v>
      </c>
      <c r="H6">
        <v>1500057.9920718651</v>
      </c>
      <c r="I6">
        <v>1000</v>
      </c>
    </row>
    <row r="7" spans="1:9" x14ac:dyDescent="0.3">
      <c r="A7" s="1" t="s">
        <v>19</v>
      </c>
      <c r="B7">
        <v>2500</v>
      </c>
      <c r="C7">
        <v>2500</v>
      </c>
      <c r="D7">
        <v>2.3796393513935135E-3</v>
      </c>
      <c r="E7">
        <v>2.3760000000000001E-3</v>
      </c>
      <c r="F7">
        <v>2.3798552285522853E-3</v>
      </c>
      <c r="G7">
        <v>2.3762000000000002E-3</v>
      </c>
      <c r="H7">
        <v>1050579.3655395736</v>
      </c>
      <c r="I7">
        <v>2500</v>
      </c>
    </row>
    <row r="8" spans="1:9" x14ac:dyDescent="0.3">
      <c r="A8" s="1" t="s">
        <v>20</v>
      </c>
      <c r="B8">
        <v>5000</v>
      </c>
      <c r="C8">
        <v>5000</v>
      </c>
      <c r="D8">
        <v>5.7452387153871538E-3</v>
      </c>
      <c r="E8">
        <v>5.7146999999999996E-3</v>
      </c>
      <c r="F8">
        <v>5.7455592155921551E-3</v>
      </c>
      <c r="G8">
        <v>5.7149000000000002E-3</v>
      </c>
      <c r="H8">
        <v>870285.85715834191</v>
      </c>
      <c r="I8">
        <v>5000</v>
      </c>
    </row>
    <row r="9" spans="1:9" x14ac:dyDescent="0.3">
      <c r="A9" s="1" t="s">
        <v>21</v>
      </c>
      <c r="B9">
        <v>7500</v>
      </c>
      <c r="C9">
        <v>7500</v>
      </c>
      <c r="D9">
        <v>9.3086031680316792E-3</v>
      </c>
      <c r="E9">
        <v>9.2812999999999993E-3</v>
      </c>
      <c r="F9">
        <v>9.3090508915089128E-3</v>
      </c>
      <c r="G9">
        <v>9.2817000000000004E-3</v>
      </c>
      <c r="H9">
        <v>805706.2767222774</v>
      </c>
      <c r="I9">
        <v>7500</v>
      </c>
    </row>
    <row r="10" spans="1:9" x14ac:dyDescent="0.3">
      <c r="A10" s="1" t="s">
        <v>22</v>
      </c>
      <c r="B10">
        <v>10000</v>
      </c>
      <c r="C10">
        <v>10000</v>
      </c>
      <c r="D10">
        <v>1.297809063190632E-2</v>
      </c>
      <c r="E10">
        <v>1.2966500000000001E-2</v>
      </c>
      <c r="F10">
        <v>1.2978626073260736E-2</v>
      </c>
      <c r="G10">
        <v>1.2966999999999999E-2</v>
      </c>
      <c r="H10">
        <v>770529.37012284715</v>
      </c>
      <c r="I10">
        <v>10000</v>
      </c>
    </row>
    <row r="14" spans="1:9" x14ac:dyDescent="0.3">
      <c r="A14" s="2" t="s">
        <v>23</v>
      </c>
      <c r="B14" s="2" t="s">
        <v>25</v>
      </c>
      <c r="C14" s="2" t="s">
        <v>26</v>
      </c>
      <c r="D14" s="2" t="s">
        <v>24</v>
      </c>
    </row>
    <row r="15" spans="1:9" x14ac:dyDescent="0.3">
      <c r="A15" s="3">
        <v>100</v>
      </c>
      <c r="B15" s="7">
        <f>D2*1000</f>
        <v>8.8132285322853249E-2</v>
      </c>
      <c r="C15" s="7">
        <f>E2*1000</f>
        <v>8.5900000000000004E-2</v>
      </c>
      <c r="D15" s="5">
        <v>1134657.9705005037</v>
      </c>
    </row>
    <row r="16" spans="1:9" x14ac:dyDescent="0.3">
      <c r="A16" s="4">
        <v>250</v>
      </c>
      <c r="B16" s="7">
        <f t="shared" ref="B16:C23" si="0">D3*1000</f>
        <v>0.15777436874368742</v>
      </c>
      <c r="C16" s="7">
        <f t="shared" si="0"/>
        <v>0.15629999999999999</v>
      </c>
      <c r="D16" s="6">
        <v>1584541.2787303738</v>
      </c>
    </row>
    <row r="17" spans="1:4" x14ac:dyDescent="0.3">
      <c r="A17" s="3">
        <v>500</v>
      </c>
      <c r="B17" s="7">
        <f t="shared" si="0"/>
        <v>0.29275825158251584</v>
      </c>
      <c r="C17" s="7">
        <f t="shared" si="0"/>
        <v>0.28610000000000002</v>
      </c>
      <c r="D17" s="5">
        <v>1707893.7905156594</v>
      </c>
    </row>
    <row r="18" spans="1:4" x14ac:dyDescent="0.3">
      <c r="A18" s="4">
        <v>750</v>
      </c>
      <c r="B18" s="7">
        <f t="shared" si="0"/>
        <v>0.52641439614396146</v>
      </c>
      <c r="C18" s="7">
        <f t="shared" si="0"/>
        <v>0.48460000000000003</v>
      </c>
      <c r="D18" s="6">
        <v>1424733.0724498143</v>
      </c>
    </row>
    <row r="19" spans="1:4" x14ac:dyDescent="0.3">
      <c r="A19" s="3">
        <v>1000</v>
      </c>
      <c r="B19" s="7">
        <f t="shared" si="0"/>
        <v>0.66664089340893407</v>
      </c>
      <c r="C19" s="7">
        <f t="shared" si="0"/>
        <v>0.66320000000000001</v>
      </c>
      <c r="D19" s="5">
        <v>1500057.9920718651</v>
      </c>
    </row>
    <row r="20" spans="1:4" x14ac:dyDescent="0.3">
      <c r="A20" s="4">
        <v>2500</v>
      </c>
      <c r="B20" s="7">
        <f t="shared" si="0"/>
        <v>2.3796393513935135</v>
      </c>
      <c r="C20" s="7">
        <f t="shared" si="0"/>
        <v>2.3759999999999999</v>
      </c>
      <c r="D20" s="6">
        <v>1050579.3655395736</v>
      </c>
    </row>
    <row r="21" spans="1:4" x14ac:dyDescent="0.3">
      <c r="A21" s="3">
        <v>5000</v>
      </c>
      <c r="B21" s="7">
        <f t="shared" si="0"/>
        <v>5.7452387153871536</v>
      </c>
      <c r="C21" s="7">
        <f t="shared" si="0"/>
        <v>5.7146999999999997</v>
      </c>
      <c r="D21" s="5">
        <v>870285.85715834191</v>
      </c>
    </row>
    <row r="22" spans="1:4" x14ac:dyDescent="0.3">
      <c r="A22" s="4">
        <v>7500</v>
      </c>
      <c r="B22" s="7">
        <f t="shared" si="0"/>
        <v>9.308603168031679</v>
      </c>
      <c r="C22" s="7">
        <f t="shared" si="0"/>
        <v>9.2812999999999999</v>
      </c>
      <c r="D22" s="6">
        <v>805706.2767222774</v>
      </c>
    </row>
    <row r="23" spans="1:4" x14ac:dyDescent="0.3">
      <c r="A23" s="3">
        <v>10000</v>
      </c>
      <c r="B23" s="7">
        <f t="shared" si="0"/>
        <v>12.978090631906321</v>
      </c>
      <c r="C23" s="7">
        <f t="shared" si="0"/>
        <v>12.9665</v>
      </c>
      <c r="D23" s="5">
        <v>770529.37012284715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cols>
    <col min="1" max="1" width="9.88671875" customWidth="1"/>
    <col min="6" max="6" width="16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F48289-534A-44B6-8980-7E437D27E2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benchmark_summary</vt:lpstr>
      <vt:lpstr>benchmark_summary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</dc:creator>
  <cp:lastModifiedBy>Filip Rak</cp:lastModifiedBy>
  <dcterms:created xsi:type="dcterms:W3CDTF">2015-06-05T18:17:20Z</dcterms:created>
  <dcterms:modified xsi:type="dcterms:W3CDTF">2026-01-15T14:59:14Z</dcterms:modified>
</cp:coreProperties>
</file>